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U\S5\WEBD\JPA_HOTEL_officiel\"/>
    </mc:Choice>
  </mc:AlternateContent>
  <xr:revisionPtr revIDLastSave="0" documentId="13_ncr:1_{F5F9EFA1-E90F-4F8A-83FF-7A1B4CB7B70B}" xr6:coauthVersionLast="47" xr6:coauthVersionMax="47" xr10:uidLastSave="{00000000-0000-0000-0000-000000000000}"/>
  <bookViews>
    <workbookView xWindow="6348" yWindow="24" windowWidth="7500" windowHeight="8880" xr2:uid="{5534BBF8-95B3-41C8-8C00-865856BADCE5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1" l="1" a="1"/>
  <c r="D56" i="1"/>
  <c r="D2" i="2"/>
  <c r="E2" i="2"/>
  <c r="E3" i="2"/>
  <c r="E4" i="2"/>
  <c r="D4" i="2" s="1"/>
  <c r="D3" i="2"/>
  <c r="D61" i="1" a="1"/>
  <c r="D61" i="1" s="1"/>
  <c r="D64" i="1" a="1"/>
  <c r="D64" i="1" s="1"/>
  <c r="D63" i="1" a="1"/>
  <c r="D63" i="1" s="1"/>
  <c r="D62" i="1" a="1"/>
  <c r="D62" i="1" s="1"/>
  <c r="D60" i="1" a="1"/>
  <c r="D60" i="1" s="1"/>
  <c r="D55" i="1" a="1"/>
  <c r="D55" i="1" s="1"/>
  <c r="D59" i="1" a="1"/>
  <c r="D59" i="1" s="1"/>
  <c r="D58" i="1" a="1"/>
  <c r="D58" i="1" s="1"/>
  <c r="D52" i="1" a="1"/>
  <c r="D52" i="1" s="1"/>
  <c r="D54" i="1" a="1"/>
  <c r="D54" i="1" s="1"/>
  <c r="D53" i="1" a="1"/>
  <c r="D5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<sst xmlns="http://schemas.openxmlformats.org/spreadsheetml/2006/main" count="98" uniqueCount="71">
  <si>
    <t xml:space="preserve">Hotels </t>
  </si>
  <si>
    <t>id</t>
  </si>
  <si>
    <t>h1</t>
  </si>
  <si>
    <t>h2</t>
  </si>
  <si>
    <t>h3</t>
  </si>
  <si>
    <t>VehiculeId</t>
  </si>
  <si>
    <t xml:space="preserve">numero </t>
  </si>
  <si>
    <t>nbPlace</t>
  </si>
  <si>
    <t>2222TBA</t>
  </si>
  <si>
    <t>2112TBA</t>
  </si>
  <si>
    <t>ReservationId</t>
  </si>
  <si>
    <t>nom</t>
  </si>
  <si>
    <t>prenom</t>
  </si>
  <si>
    <t>nbPersonne</t>
  </si>
  <si>
    <t>date</t>
  </si>
  <si>
    <t xml:space="preserve">heure </t>
  </si>
  <si>
    <t>idHotel</t>
  </si>
  <si>
    <t>R1</t>
  </si>
  <si>
    <t>RAHARISON</t>
  </si>
  <si>
    <t>Harena</t>
  </si>
  <si>
    <t>DistanceId</t>
  </si>
  <si>
    <t>from</t>
  </si>
  <si>
    <t xml:space="preserve">to </t>
  </si>
  <si>
    <t>distance</t>
  </si>
  <si>
    <t>Lieu</t>
  </si>
  <si>
    <t>Ambodivona</t>
  </si>
  <si>
    <t>Itaosy</t>
  </si>
  <si>
    <t>Analakely</t>
  </si>
  <si>
    <t>Carburant</t>
  </si>
  <si>
    <t>Carburant Id</t>
  </si>
  <si>
    <t>NomCarburant</t>
  </si>
  <si>
    <t>Essence</t>
  </si>
  <si>
    <t>Gasoil</t>
  </si>
  <si>
    <t>R2</t>
  </si>
  <si>
    <t>RAZANADRAKOTO</t>
  </si>
  <si>
    <t xml:space="preserve">Mathieu </t>
  </si>
  <si>
    <t>Planning</t>
  </si>
  <si>
    <t xml:space="preserve">Voiture </t>
  </si>
  <si>
    <t>IdReservation</t>
  </si>
  <si>
    <t xml:space="preserve">VitesseMoyenne </t>
  </si>
  <si>
    <t>Durée trajet</t>
  </si>
  <si>
    <t>TNR</t>
  </si>
  <si>
    <t>Ivato</t>
  </si>
  <si>
    <t>R3</t>
  </si>
  <si>
    <t>RAZAFITSALAMA</t>
  </si>
  <si>
    <t>Paul</t>
  </si>
  <si>
    <t>R4</t>
  </si>
  <si>
    <t>R5</t>
  </si>
  <si>
    <t>Julien</t>
  </si>
  <si>
    <t>Fafa</t>
  </si>
  <si>
    <t>R6</t>
  </si>
  <si>
    <t>RAZAKAZAKA</t>
  </si>
  <si>
    <t>Sitraka</t>
  </si>
  <si>
    <t>2221TBA</t>
  </si>
  <si>
    <t>Mbola misy place disponibles no mifanakaiky 30 minutes ilay reservations dia mbola raisina ilay reservation , atao mitambatra fiara iray</t>
  </si>
  <si>
    <t>Misy reste place 2 anatin'ilay fiara anankiroa dia izay gasoil no nalaina</t>
  </si>
  <si>
    <t>R7</t>
  </si>
  <si>
    <t xml:space="preserve">François </t>
  </si>
  <si>
    <t>Fenony ilay fiara iray (11 places)</t>
  </si>
  <si>
    <t xml:space="preserve">Misy reste place 2 anatin'ilay fiara anankiroa dia samy gasoil dia izay efa nanao trajet voalohany ihany no nalaina </t>
  </si>
  <si>
    <t>Misy reste place 2 anatin'ilay fiara anankiroa dia samy gasoil dia izay mbola tsy nisy nanao  trajet dia atao random</t>
  </si>
  <si>
    <t>Total</t>
  </si>
  <si>
    <t xml:space="preserve">Style </t>
  </si>
  <si>
    <t>Cahier</t>
  </si>
  <si>
    <t>Classeur</t>
  </si>
  <si>
    <t>prix</t>
  </si>
  <si>
    <t>quantite</t>
  </si>
  <si>
    <t>produit</t>
  </si>
  <si>
    <t>TauxRemise</t>
  </si>
  <si>
    <t>quantiteMin</t>
  </si>
  <si>
    <t>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</si>
</sst>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14" fontId="0" fillId="0" borderId="0" xfId="0" applyNumberFormat="1" applyFill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1">
    <dxf>
      <numFmt numFmtId="0" formatCode="General"/>
    </dxf>
    <dxf>
      <numFmt numFmtId="1" formatCode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199A3D-ED24-4195-B9A4-F6C4402880F7}" name="Tableau2" displayName="Tableau2" ref="A2:C6" totalsRowShown="0" headerRowDxfId="40" dataDxfId="39">
  <autoFilter ref="A2:C6" xr:uid="{97199A3D-ED24-4195-B9A4-F6C4402880F7}"/>
  <tableColumns count="3">
    <tableColumn id="1" xr3:uid="{5D17CACB-2576-4159-AB71-CB0C7A73A3C9}" name="id" dataDxfId="38"/>
    <tableColumn id="2" xr3:uid="{4820C197-221A-4546-9114-2418D2D13EA7}" name="Hotels " dataDxfId="37"/>
    <tableColumn id="3" xr3:uid="{97810857-E2E8-430D-BF56-9DD115DE9E77}" name="Lieu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3AB4BA-B641-4B71-87C7-4FB351812F21}" name="Tableau4" displayName="Tableau4" ref="A75:D90" totalsRowShown="0" headerRowDxfId="35" dataDxfId="34">
  <autoFilter ref="A75:D90" xr:uid="{D83AB4BA-B641-4B71-87C7-4FB351812F21}"/>
  <tableColumns count="4">
    <tableColumn id="1" xr3:uid="{3DEAFF8B-64D6-4C45-BE53-2C0406F0D3E7}" name="VehiculeId" dataDxfId="33"/>
    <tableColumn id="2" xr3:uid="{8F49B8EB-0718-4894-B628-1FC4338A1211}" name="numero " dataDxfId="32"/>
    <tableColumn id="3" xr3:uid="{0B3BB07B-8303-4F19-87F9-B45D376AEE70}" name="nbPlace" dataDxfId="31"/>
    <tableColumn id="4" xr3:uid="{37477CFE-B349-4BE3-A080-0FE2F55ED4D5}" name="Carburant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A3CB4C-3A2E-4A04-B005-53E9774FD54C}" name="Tableau5" displayName="Tableau5" ref="A28:G35" totalsRowShown="0" headerRowDxfId="29" dataDxfId="28">
  <autoFilter ref="A28:G35" xr:uid="{B6A3CB4C-3A2E-4A04-B005-53E9774FD54C}"/>
  <tableColumns count="7">
    <tableColumn id="1" xr3:uid="{F737B779-EC75-4513-888C-315CE71E18CB}" name="ReservationId" dataDxfId="27"/>
    <tableColumn id="2" xr3:uid="{17B53A17-7E8C-495C-B05E-501E4A1A201A}" name="nom" dataDxfId="26"/>
    <tableColumn id="3" xr3:uid="{3443EFB8-22A0-48A4-BFAD-E2EA98B847D1}" name="prenom" dataDxfId="25"/>
    <tableColumn id="4" xr3:uid="{F9232652-BCB0-4E7D-AFD8-7D5D9AE196E0}" name="nbPersonne" dataDxfId="24"/>
    <tableColumn id="5" xr3:uid="{CDAC54C2-D833-4ED2-B3F7-AD31AA367F87}" name="date" dataDxfId="23"/>
    <tableColumn id="6" xr3:uid="{B629B01C-3B38-4247-B4B2-C9E2EDA4B27C}" name="heure " dataDxfId="22"/>
    <tableColumn id="7" xr3:uid="{3A55E894-69A1-42D7-8973-0C7201F0CD68}" name="idHotel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8805BE-2E33-4502-A3C8-4FDD994A53C8}" name="Tableau6" displayName="Tableau6" ref="A39:D43" totalsRowShown="0" headerRowDxfId="20" dataDxfId="19">
  <autoFilter ref="A39:D43" xr:uid="{0F8805BE-2E33-4502-A3C8-4FDD994A53C8}"/>
  <tableColumns count="4">
    <tableColumn id="1" xr3:uid="{613963FF-AC20-4734-8709-B51B81219080}" name="DistanceId" dataDxfId="18"/>
    <tableColumn id="2" xr3:uid="{F449668B-0560-4877-B94E-11F13F52A0AD}" name="from" dataDxfId="17"/>
    <tableColumn id="3" xr3:uid="{3C4FFC57-0EF3-4E1B-8B23-00599B482061}" name="to " dataDxfId="16"/>
    <tableColumn id="4" xr3:uid="{E06269E1-2B3F-4AC7-BA3E-9FF36734F192}" name="distance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283713-DECA-45E5-BA0F-30E02A7418A4}" name="Tableau1" displayName="Tableau1" ref="A47:B49" totalsRowShown="0" headerRowDxfId="14" dataDxfId="13">
  <autoFilter ref="A47:B49" xr:uid="{94283713-DECA-45E5-BA0F-30E02A7418A4}"/>
  <tableColumns count="2">
    <tableColumn id="1" xr3:uid="{B6374363-FE3D-4404-9316-73B6AFD4AF1D}" name="Carburant Id" dataDxfId="12"/>
    <tableColumn id="2" xr3:uid="{84D79355-5FFC-48A6-B24B-69FDB1571CC6}" name="NomCarburant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5EDBD9-D20E-4031-87A4-8E978DD6AB50}" name="Tableau7" displayName="Tableau7" ref="A51:D64" totalsRowShown="0" headerRowDxfId="7" dataDxfId="6">
  <autoFilter ref="A51:D64" xr:uid="{495EDBD9-D20E-4031-87A4-8E978DD6AB50}"/>
  <tableColumns count="4">
    <tableColumn id="1" xr3:uid="{97EA16E0-897B-47E8-AF66-6529CF71929C}" name="Planning" dataDxfId="5"/>
    <tableColumn id="2" xr3:uid="{FBE98F22-22ED-4422-9C5C-7E724623BFAC}" name="Voiture " dataDxfId="4"/>
    <tableColumn id="3" xr3:uid="{BD9D277A-D87C-4534-828E-ACCEF1BCCD01}" name="IdReservation" dataDxfId="3"/>
    <tableColumn id="4" xr3:uid="{A7D61DB2-2089-450C-AE52-6DEF5E20CC23}" name="Durée trajet" dataDxfId="2">
      <calculatedColumnFormula array="1">(D40/Tableau8[[VitesseMoyenne ]])*2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C09F84B-38B9-4E90-A03E-339A71EEC659}" name="Tableau8" displayName="Tableau8" ref="A71:A72" totalsRowShown="0" headerRowDxfId="10" dataDxfId="9">
  <autoFilter ref="A71:A72" xr:uid="{AC09F84B-38B9-4E90-A03E-339A71EEC659}"/>
  <tableColumns count="1">
    <tableColumn id="1" xr3:uid="{C1526FDB-E5AC-43F6-8C4D-EC8B5863AD39}" name="VitesseMoyenne 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3A8113-D094-4021-90E3-073680113F25}" name="Tableau3" displayName="Tableau3" ref="A1:E4" totalsRowShown="0">
  <autoFilter ref="A1:E4" xr:uid="{EE3A8113-D094-4021-90E3-073680113F25}"/>
  <tableColumns count="5">
    <tableColumn id="1" xr3:uid="{00EBCF01-B847-460F-A35E-59DB13454118}" name="produit"/>
    <tableColumn id="2" xr3:uid="{F29D3379-DE89-4891-9CDC-BEDFF1E4E67F}" name="quantite"/>
    <tableColumn id="3" xr3:uid="{6996DB9F-F57B-436D-83CF-47BA50936270}" name="prix"/>
    <tableColumn id="4" xr3:uid="{24B15795-C319-49B2-B8CE-7F608C23F40B}" name="Total" dataDxfId="1">
      <calculatedColumnFormula>((Tableau3[[#This Row],[quantite]]*Tableau3[[#This Row],[prix]])+(1+$F$1))-Tableau3[[#This Row],[TauxRemise]]</calculatedColumnFormula>
    </tableColumn>
    <tableColumn id="5" xr3:uid="{55617878-68A1-4CF4-954F-C46BE6168CB2}" name="TauxRemise" dataDxfId="0">
      <calculatedColumnFormula>_xlfn.XLOOKUP(
   Tableau3[[#This Row],[quantite]],
   $H$2:$H$4,
   $I$2:$I$4,
   0,
   -1
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4870351-B2E3-4C98-98D6-0DE5BEE186C5}" name="Tableau9" displayName="Tableau9" ref="H1:I4" totalsRowShown="0">
  <autoFilter ref="H1:I4" xr:uid="{B4870351-B2E3-4C98-98D6-0DE5BEE186C5}"/>
  <tableColumns count="2">
    <tableColumn id="1" xr3:uid="{A51201B6-7630-410B-B586-C5BEE82D89D8}" name="quantiteMin"/>
    <tableColumn id="2" xr3:uid="{BEEC9B55-D249-4193-9789-DA562983FBAC}" name="tau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2881-C7CF-44D1-AC71-EB09C6880520}">
  <dimension ref="A1:G89"/>
  <sheetViews>
    <sheetView tabSelected="1" topLeftCell="C43" zoomScale="83" zoomScaleNormal="79" workbookViewId="0">
      <selection activeCell="D60" sqref="D60"/>
    </sheetView>
  </sheetViews>
  <sheetFormatPr baseColWidth="10" defaultRowHeight="14.4" x14ac:dyDescent="0.3"/>
  <cols>
    <col min="1" max="1" width="16.6640625" style="1" customWidth="1"/>
    <col min="2" max="2" width="55.21875" style="1" customWidth="1"/>
    <col min="3" max="3" width="16.88671875" style="1" customWidth="1"/>
    <col min="4" max="4" width="24.44140625" style="1" customWidth="1"/>
    <col min="5" max="5" width="121" style="5" customWidth="1"/>
    <col min="6" max="6" width="11.5546875" style="3"/>
    <col min="7" max="16384" width="11.5546875" style="1"/>
  </cols>
  <sheetData>
    <row r="1" spans="1:5" x14ac:dyDescent="0.3">
      <c r="E1" s="2"/>
    </row>
    <row r="2" spans="1:5" x14ac:dyDescent="0.3">
      <c r="A2" s="1" t="s">
        <v>1</v>
      </c>
      <c r="B2" s="1" t="s">
        <v>0</v>
      </c>
      <c r="C2" s="1" t="s">
        <v>24</v>
      </c>
      <c r="E2" s="2"/>
    </row>
    <row r="3" spans="1:5" x14ac:dyDescent="0.3">
      <c r="A3" s="1">
        <v>1</v>
      </c>
      <c r="B3" s="1" t="s">
        <v>41</v>
      </c>
      <c r="C3" s="1" t="s">
        <v>42</v>
      </c>
      <c r="E3" s="2"/>
    </row>
    <row r="4" spans="1:5" x14ac:dyDescent="0.3">
      <c r="A4" s="1">
        <v>2</v>
      </c>
      <c r="B4" s="1" t="s">
        <v>2</v>
      </c>
      <c r="C4" s="1" t="s">
        <v>25</v>
      </c>
      <c r="E4" s="2"/>
    </row>
    <row r="5" spans="1:5" x14ac:dyDescent="0.3">
      <c r="A5" s="1">
        <v>3</v>
      </c>
      <c r="B5" s="1" t="s">
        <v>3</v>
      </c>
      <c r="C5" s="1" t="s">
        <v>27</v>
      </c>
      <c r="E5" s="2"/>
    </row>
    <row r="6" spans="1:5" x14ac:dyDescent="0.3">
      <c r="A6" s="1">
        <v>4</v>
      </c>
      <c r="B6" s="1" t="s">
        <v>4</v>
      </c>
      <c r="C6" s="1" t="s">
        <v>26</v>
      </c>
      <c r="E6" s="2"/>
    </row>
    <row r="7" spans="1:5" x14ac:dyDescent="0.3">
      <c r="E7" s="2"/>
    </row>
    <row r="8" spans="1:5" x14ac:dyDescent="0.3">
      <c r="E8" s="2"/>
    </row>
    <row r="9" spans="1:5" x14ac:dyDescent="0.3">
      <c r="E9" s="2"/>
    </row>
    <row r="10" spans="1:5" x14ac:dyDescent="0.3">
      <c r="E10" s="2"/>
    </row>
    <row r="11" spans="1:5" x14ac:dyDescent="0.3">
      <c r="E11" s="2"/>
    </row>
    <row r="12" spans="1:5" x14ac:dyDescent="0.3">
      <c r="E12" s="2"/>
    </row>
    <row r="13" spans="1:5" x14ac:dyDescent="0.3">
      <c r="E13" s="2"/>
    </row>
    <row r="14" spans="1:5" x14ac:dyDescent="0.3">
      <c r="E14" s="2"/>
    </row>
    <row r="15" spans="1:5" x14ac:dyDescent="0.3">
      <c r="E15" s="2"/>
    </row>
    <row r="16" spans="1:5" x14ac:dyDescent="0.3">
      <c r="E16" s="2"/>
    </row>
    <row r="17" spans="1:7" x14ac:dyDescent="0.3">
      <c r="E17" s="2"/>
    </row>
    <row r="18" spans="1:7" x14ac:dyDescent="0.3">
      <c r="E18" s="2"/>
    </row>
    <row r="19" spans="1:7" x14ac:dyDescent="0.3">
      <c r="E19" s="2"/>
    </row>
    <row r="20" spans="1:7" x14ac:dyDescent="0.3">
      <c r="E20" s="2"/>
    </row>
    <row r="21" spans="1:7" x14ac:dyDescent="0.3">
      <c r="E21" s="2"/>
    </row>
    <row r="22" spans="1:7" x14ac:dyDescent="0.3">
      <c r="E22" s="2"/>
    </row>
    <row r="23" spans="1:7" x14ac:dyDescent="0.3">
      <c r="E23" s="2"/>
    </row>
    <row r="24" spans="1:7" x14ac:dyDescent="0.3">
      <c r="E24" s="2"/>
    </row>
    <row r="25" spans="1:7" x14ac:dyDescent="0.3">
      <c r="E25" s="2"/>
    </row>
    <row r="26" spans="1:7" x14ac:dyDescent="0.3">
      <c r="E26" s="2"/>
    </row>
    <row r="27" spans="1:7" x14ac:dyDescent="0.3">
      <c r="E27" s="2"/>
    </row>
    <row r="28" spans="1:7" x14ac:dyDescent="0.3">
      <c r="A28" s="1" t="s">
        <v>10</v>
      </c>
      <c r="B28" s="1" t="s">
        <v>11</v>
      </c>
      <c r="C28" s="1" t="s">
        <v>12</v>
      </c>
      <c r="D28" s="1" t="s">
        <v>13</v>
      </c>
      <c r="E28" s="2" t="s">
        <v>14</v>
      </c>
      <c r="F28" s="3" t="s">
        <v>15</v>
      </c>
      <c r="G28" s="1" t="s">
        <v>16</v>
      </c>
    </row>
    <row r="29" spans="1:7" x14ac:dyDescent="0.3">
      <c r="A29" s="1" t="s">
        <v>17</v>
      </c>
      <c r="B29" s="1" t="s">
        <v>18</v>
      </c>
      <c r="C29" s="1" t="s">
        <v>19</v>
      </c>
      <c r="D29" s="1">
        <v>3</v>
      </c>
      <c r="E29" s="2">
        <v>46003</v>
      </c>
      <c r="F29" s="3">
        <v>0.25</v>
      </c>
      <c r="G29" s="1">
        <v>1</v>
      </c>
    </row>
    <row r="30" spans="1:7" x14ac:dyDescent="0.3">
      <c r="A30" s="1" t="s">
        <v>33</v>
      </c>
      <c r="B30" s="1" t="s">
        <v>34</v>
      </c>
      <c r="C30" s="1" t="s">
        <v>35</v>
      </c>
      <c r="D30" s="1">
        <v>2</v>
      </c>
      <c r="E30" s="2">
        <v>46003</v>
      </c>
      <c r="F30" s="3">
        <v>0.27083333333333331</v>
      </c>
      <c r="G30" s="1">
        <v>1</v>
      </c>
    </row>
    <row r="31" spans="1:7" x14ac:dyDescent="0.3">
      <c r="A31" s="1" t="s">
        <v>43</v>
      </c>
      <c r="B31" s="1" t="s">
        <v>44</v>
      </c>
      <c r="C31" s="1" t="s">
        <v>45</v>
      </c>
      <c r="D31" s="1">
        <v>5</v>
      </c>
      <c r="E31" s="2">
        <v>46003</v>
      </c>
      <c r="F31" s="3">
        <v>0.375</v>
      </c>
      <c r="G31" s="1">
        <v>1</v>
      </c>
    </row>
    <row r="32" spans="1:7" x14ac:dyDescent="0.3">
      <c r="A32" s="1" t="s">
        <v>46</v>
      </c>
      <c r="B32" s="1" t="s">
        <v>51</v>
      </c>
      <c r="C32" s="1" t="s">
        <v>52</v>
      </c>
      <c r="D32" s="1">
        <v>6</v>
      </c>
      <c r="E32" s="2">
        <v>46003</v>
      </c>
      <c r="F32" s="3">
        <v>0.48958333333333331</v>
      </c>
      <c r="G32" s="1">
        <v>3</v>
      </c>
    </row>
    <row r="33" spans="1:7" x14ac:dyDescent="0.3">
      <c r="A33" s="1" t="s">
        <v>47</v>
      </c>
      <c r="B33" s="1" t="s">
        <v>44</v>
      </c>
      <c r="C33" s="1" t="s">
        <v>48</v>
      </c>
      <c r="D33" s="1">
        <v>6</v>
      </c>
      <c r="E33" s="2">
        <v>46003</v>
      </c>
      <c r="F33" s="3">
        <v>0.5</v>
      </c>
      <c r="G33" s="1">
        <v>3</v>
      </c>
    </row>
    <row r="34" spans="1:7" x14ac:dyDescent="0.3">
      <c r="A34" s="1" t="s">
        <v>50</v>
      </c>
      <c r="B34" s="1" t="s">
        <v>44</v>
      </c>
      <c r="C34" s="1" t="s">
        <v>49</v>
      </c>
      <c r="D34" s="1">
        <v>2</v>
      </c>
      <c r="E34" s="2">
        <v>46003</v>
      </c>
      <c r="F34" s="3">
        <v>0.51041666666666663</v>
      </c>
      <c r="G34" s="1">
        <v>3</v>
      </c>
    </row>
    <row r="35" spans="1:7" x14ac:dyDescent="0.3">
      <c r="A35" s="1" t="s">
        <v>56</v>
      </c>
      <c r="B35" s="1" t="s">
        <v>34</v>
      </c>
      <c r="C35" s="1" t="s">
        <v>57</v>
      </c>
      <c r="D35" s="1">
        <v>11</v>
      </c>
      <c r="E35" s="2">
        <v>46004</v>
      </c>
      <c r="F35" s="3">
        <v>0.25</v>
      </c>
      <c r="G35" s="1">
        <v>1</v>
      </c>
    </row>
    <row r="36" spans="1:7" x14ac:dyDescent="0.3">
      <c r="E36" s="2"/>
    </row>
    <row r="37" spans="1:7" x14ac:dyDescent="0.3">
      <c r="E37" s="2"/>
    </row>
    <row r="38" spans="1:7" x14ac:dyDescent="0.3">
      <c r="E38" s="2"/>
    </row>
    <row r="39" spans="1:7" x14ac:dyDescent="0.3">
      <c r="A39" s="1" t="s">
        <v>20</v>
      </c>
      <c r="B39" s="1" t="s">
        <v>21</v>
      </c>
      <c r="C39" s="1" t="s">
        <v>22</v>
      </c>
      <c r="D39" s="1" t="s">
        <v>23</v>
      </c>
      <c r="E39" s="2"/>
    </row>
    <row r="40" spans="1:7" x14ac:dyDescent="0.3">
      <c r="A40" s="1">
        <v>1</v>
      </c>
      <c r="B40" s="1">
        <v>1</v>
      </c>
      <c r="C40" s="1">
        <v>2</v>
      </c>
      <c r="D40" s="1">
        <v>25</v>
      </c>
      <c r="E40" s="2"/>
    </row>
    <row r="41" spans="1:7" x14ac:dyDescent="0.3">
      <c r="A41" s="1">
        <v>2</v>
      </c>
      <c r="B41" s="1">
        <v>1</v>
      </c>
      <c r="C41" s="1">
        <v>3</v>
      </c>
      <c r="D41" s="1">
        <v>30</v>
      </c>
      <c r="E41" s="2"/>
    </row>
    <row r="42" spans="1:7" x14ac:dyDescent="0.3">
      <c r="A42" s="1">
        <v>3</v>
      </c>
      <c r="B42" s="1">
        <v>1</v>
      </c>
      <c r="C42" s="1">
        <v>2</v>
      </c>
      <c r="D42" s="1">
        <v>10</v>
      </c>
      <c r="E42" s="2"/>
    </row>
    <row r="43" spans="1:7" x14ac:dyDescent="0.3">
      <c r="A43" s="1">
        <v>4</v>
      </c>
      <c r="B43" s="1">
        <v>1</v>
      </c>
      <c r="C43" s="1">
        <v>4</v>
      </c>
      <c r="D43" s="1">
        <v>15</v>
      </c>
      <c r="E43" s="2"/>
    </row>
    <row r="44" spans="1:7" x14ac:dyDescent="0.3">
      <c r="E44" s="2"/>
    </row>
    <row r="45" spans="1:7" x14ac:dyDescent="0.3">
      <c r="E45" s="2"/>
    </row>
    <row r="46" spans="1:7" x14ac:dyDescent="0.3">
      <c r="E46" s="2"/>
    </row>
    <row r="47" spans="1:7" x14ac:dyDescent="0.3">
      <c r="A47" s="1" t="s">
        <v>29</v>
      </c>
      <c r="B47" s="1" t="s">
        <v>30</v>
      </c>
      <c r="E47" s="2"/>
    </row>
    <row r="48" spans="1:7" x14ac:dyDescent="0.3">
      <c r="A48" s="1">
        <v>0</v>
      </c>
      <c r="B48" s="1" t="s">
        <v>31</v>
      </c>
      <c r="E48" s="2"/>
    </row>
    <row r="49" spans="1:6" x14ac:dyDescent="0.3">
      <c r="A49" s="1">
        <v>1</v>
      </c>
      <c r="B49" s="1" t="s">
        <v>32</v>
      </c>
      <c r="E49" s="2"/>
    </row>
    <row r="50" spans="1:6" x14ac:dyDescent="0.3">
      <c r="E50" s="2"/>
    </row>
    <row r="51" spans="1:6" x14ac:dyDescent="0.3">
      <c r="A51" s="1" t="s">
        <v>36</v>
      </c>
      <c r="B51" s="1" t="s">
        <v>37</v>
      </c>
      <c r="C51" s="1" t="s">
        <v>38</v>
      </c>
      <c r="D51" s="1" t="s">
        <v>40</v>
      </c>
      <c r="E51" s="11" t="s">
        <v>54</v>
      </c>
      <c r="F51" s="1"/>
    </row>
    <row r="52" spans="1:6" x14ac:dyDescent="0.3">
      <c r="A52" s="1">
        <v>1</v>
      </c>
      <c r="B52" s="1">
        <v>1</v>
      </c>
      <c r="C52" s="1" t="s">
        <v>17</v>
      </c>
      <c r="D52" s="1" cm="1">
        <f t="array" ref="D52">(D40/Tableau8[[VitesseMoyenne ]])*2</f>
        <v>2.5</v>
      </c>
      <c r="E52" s="11"/>
      <c r="F52" s="1"/>
    </row>
    <row r="53" spans="1:6" x14ac:dyDescent="0.3">
      <c r="A53" s="1">
        <v>2</v>
      </c>
      <c r="B53" s="1">
        <v>1</v>
      </c>
      <c r="C53" s="1" t="s">
        <v>33</v>
      </c>
      <c r="D53" s="1" cm="1">
        <f t="array" ref="D53">(D40/Tableau8[[VitesseMoyenne ]])*2</f>
        <v>2.5</v>
      </c>
      <c r="E53" s="11"/>
      <c r="F53" s="1"/>
    </row>
    <row r="54" spans="1:6" x14ac:dyDescent="0.3">
      <c r="A54" s="1">
        <v>3</v>
      </c>
      <c r="B54" s="1">
        <v>1</v>
      </c>
      <c r="C54" s="1" t="s">
        <v>43</v>
      </c>
      <c r="D54" s="1" cm="1">
        <f t="array" ref="D54">(D40/Tableau8[[VitesseMoyenne ]])*2</f>
        <v>2.5</v>
      </c>
      <c r="E54" s="11"/>
      <c r="F54" s="1"/>
    </row>
    <row r="55" spans="1:6" x14ac:dyDescent="0.3">
      <c r="A55" s="1">
        <v>4</v>
      </c>
      <c r="B55" s="1">
        <v>8</v>
      </c>
      <c r="C55" s="1" t="s">
        <v>46</v>
      </c>
      <c r="D55" s="1" cm="1">
        <f t="array" ref="D55">(D41/Tableau8[[VitesseMoyenne ]])*2</f>
        <v>3</v>
      </c>
      <c r="E55" s="12" t="s">
        <v>55</v>
      </c>
      <c r="F55" s="1"/>
    </row>
    <row r="56" spans="1:6" x14ac:dyDescent="0.3">
      <c r="A56" s="1">
        <v>5</v>
      </c>
      <c r="B56" s="1">
        <v>7</v>
      </c>
      <c r="C56" s="1" t="s">
        <v>47</v>
      </c>
      <c r="D56" s="1" cm="1">
        <f t="array" ref="D56">(D41/Tableau8[[VitesseMoyenne ]])*2</f>
        <v>3</v>
      </c>
      <c r="E56" s="12"/>
      <c r="F56" s="1"/>
    </row>
    <row r="57" spans="1:6" x14ac:dyDescent="0.3">
      <c r="A57" s="1">
        <v>6</v>
      </c>
      <c r="B57" s="1">
        <v>8</v>
      </c>
      <c r="C57" s="1" t="s">
        <v>50</v>
      </c>
      <c r="D57" s="1">
        <v>3</v>
      </c>
      <c r="E57" s="12"/>
      <c r="F57" s="1"/>
    </row>
    <row r="58" spans="1:6" x14ac:dyDescent="0.3">
      <c r="A58" s="1">
        <v>7</v>
      </c>
      <c r="B58" s="1">
        <v>9</v>
      </c>
      <c r="C58" s="1" t="s">
        <v>56</v>
      </c>
      <c r="D58" s="1" cm="1">
        <f t="array" ref="D58">(D40/Tableau8[[VitesseMoyenne ]])*2</f>
        <v>2.5</v>
      </c>
      <c r="E58" s="13" t="s">
        <v>58</v>
      </c>
      <c r="F58" s="1"/>
    </row>
    <row r="59" spans="1:6" x14ac:dyDescent="0.3">
      <c r="A59" s="1">
        <v>8</v>
      </c>
      <c r="B59" s="1">
        <v>8</v>
      </c>
      <c r="C59" s="1" t="s">
        <v>46</v>
      </c>
      <c r="D59" s="1" cm="1">
        <f t="array" ref="D59">(D41/Tableau8[[VitesseMoyenne ]])*2</f>
        <v>3</v>
      </c>
      <c r="E59" s="12" t="s">
        <v>59</v>
      </c>
    </row>
    <row r="60" spans="1:6" x14ac:dyDescent="0.3">
      <c r="A60" s="1">
        <v>9</v>
      </c>
      <c r="B60" s="1">
        <v>10</v>
      </c>
      <c r="C60" s="1" t="s">
        <v>47</v>
      </c>
      <c r="D60" s="1" cm="1">
        <f t="array" ref="D60">(D41/Tableau8[[VitesseMoyenne ]])*2</f>
        <v>3</v>
      </c>
      <c r="E60" s="12"/>
    </row>
    <row r="61" spans="1:6" x14ac:dyDescent="0.3">
      <c r="A61" s="1">
        <v>10</v>
      </c>
      <c r="B61" s="1">
        <v>8</v>
      </c>
      <c r="C61" s="1" t="s">
        <v>50</v>
      </c>
      <c r="D61" s="1" cm="1">
        <f t="array" ref="D61">(D41/Tableau8[[VitesseMoyenne ]])*2</f>
        <v>3</v>
      </c>
      <c r="E61" s="12"/>
    </row>
    <row r="62" spans="1:6" x14ac:dyDescent="0.3">
      <c r="A62" s="1">
        <v>11</v>
      </c>
      <c r="B62" s="1">
        <v>8</v>
      </c>
      <c r="C62" s="1" t="s">
        <v>46</v>
      </c>
      <c r="D62" s="1" cm="1">
        <f t="array" ref="D62">(D41/Tableau8[[VitesseMoyenne ]])*2</f>
        <v>3</v>
      </c>
      <c r="E62" s="14" t="s">
        <v>60</v>
      </c>
    </row>
    <row r="63" spans="1:6" x14ac:dyDescent="0.3">
      <c r="A63" s="1">
        <v>12</v>
      </c>
      <c r="B63" s="1">
        <v>10</v>
      </c>
      <c r="C63" s="1" t="s">
        <v>47</v>
      </c>
      <c r="D63" s="1" cm="1">
        <f t="array" ref="D63">(D41/Tableau8[[VitesseMoyenne ]])*2</f>
        <v>3</v>
      </c>
      <c r="E63" s="14"/>
    </row>
    <row r="64" spans="1:6" x14ac:dyDescent="0.3">
      <c r="A64" s="1">
        <v>13</v>
      </c>
      <c r="B64" s="1">
        <v>8</v>
      </c>
      <c r="C64" s="1" t="s">
        <v>50</v>
      </c>
      <c r="D64" s="1" cm="1">
        <f t="array" ref="D64">(D41/Tableau8[[VitesseMoyenne ]])*2</f>
        <v>3</v>
      </c>
      <c r="E64" s="14"/>
    </row>
    <row r="67" spans="1:6" ht="38.4" customHeight="1" x14ac:dyDescent="0.3"/>
    <row r="71" spans="1:6" s="7" customFormat="1" x14ac:dyDescent="0.3">
      <c r="A71" s="1" t="s">
        <v>39</v>
      </c>
      <c r="B71" s="1"/>
      <c r="F71" s="9"/>
    </row>
    <row r="72" spans="1:6" x14ac:dyDescent="0.3">
      <c r="A72" s="1">
        <v>20</v>
      </c>
    </row>
    <row r="75" spans="1:6" x14ac:dyDescent="0.3">
      <c r="A75" s="1" t="s">
        <v>5</v>
      </c>
      <c r="B75" s="1" t="s">
        <v>6</v>
      </c>
      <c r="C75" s="1" t="s">
        <v>7</v>
      </c>
      <c r="D75" s="1" t="s">
        <v>28</v>
      </c>
      <c r="E75" s="4"/>
    </row>
    <row r="76" spans="1:6" x14ac:dyDescent="0.3">
      <c r="A76" s="1">
        <v>1</v>
      </c>
      <c r="B76" s="1" t="s">
        <v>8</v>
      </c>
      <c r="C76" s="1">
        <v>4</v>
      </c>
      <c r="D76" s="1">
        <v>0</v>
      </c>
    </row>
    <row r="77" spans="1:6" x14ac:dyDescent="0.3">
      <c r="A77" s="1">
        <v>2</v>
      </c>
      <c r="B77" s="1" t="s">
        <v>53</v>
      </c>
      <c r="C77" s="1">
        <v>12</v>
      </c>
      <c r="D77" s="1">
        <v>1</v>
      </c>
    </row>
    <row r="78" spans="1:6" x14ac:dyDescent="0.3">
      <c r="A78" s="1">
        <v>3</v>
      </c>
      <c r="B78" s="1" t="s">
        <v>9</v>
      </c>
      <c r="C78" s="1">
        <v>5</v>
      </c>
      <c r="D78" s="1">
        <v>0</v>
      </c>
      <c r="E78" s="6"/>
    </row>
    <row r="79" spans="1:6" x14ac:dyDescent="0.3">
      <c r="A79" s="1">
        <v>4</v>
      </c>
      <c r="B79" s="1" t="s">
        <v>8</v>
      </c>
      <c r="C79" s="1">
        <v>4</v>
      </c>
      <c r="D79" s="1">
        <v>1</v>
      </c>
      <c r="E79" s="6"/>
    </row>
    <row r="80" spans="1:6" x14ac:dyDescent="0.3">
      <c r="A80" s="1">
        <v>5</v>
      </c>
      <c r="B80" s="1" t="s">
        <v>8</v>
      </c>
      <c r="C80" s="1">
        <v>18</v>
      </c>
      <c r="D80" s="1">
        <v>1</v>
      </c>
      <c r="E80" s="6"/>
    </row>
    <row r="81" spans="1:5" x14ac:dyDescent="0.3">
      <c r="A81" s="1">
        <v>6</v>
      </c>
      <c r="B81" s="1" t="s">
        <v>8</v>
      </c>
      <c r="C81" s="1">
        <v>30</v>
      </c>
      <c r="D81" s="1">
        <v>1</v>
      </c>
    </row>
    <row r="82" spans="1:5" x14ac:dyDescent="0.3">
      <c r="A82" s="10">
        <v>7</v>
      </c>
      <c r="B82" s="10" t="s">
        <v>8</v>
      </c>
      <c r="C82" s="10">
        <v>8</v>
      </c>
      <c r="D82" s="10">
        <v>0</v>
      </c>
      <c r="E82" s="8"/>
    </row>
    <row r="83" spans="1:5" x14ac:dyDescent="0.3">
      <c r="A83" s="10">
        <v>8</v>
      </c>
      <c r="B83" s="10" t="s">
        <v>8</v>
      </c>
      <c r="C83" s="10">
        <v>8</v>
      </c>
      <c r="D83" s="10">
        <v>1</v>
      </c>
    </row>
    <row r="84" spans="1:5" x14ac:dyDescent="0.3">
      <c r="A84" s="1">
        <v>9</v>
      </c>
      <c r="B84" s="1" t="s">
        <v>8</v>
      </c>
      <c r="C84" s="1">
        <v>11</v>
      </c>
      <c r="D84" s="1">
        <v>0</v>
      </c>
    </row>
    <row r="85" spans="1:5" x14ac:dyDescent="0.3">
      <c r="A85" s="1">
        <v>10</v>
      </c>
      <c r="B85" s="1" t="s">
        <v>8</v>
      </c>
      <c r="C85" s="1">
        <v>8</v>
      </c>
      <c r="D85" s="1">
        <v>1</v>
      </c>
    </row>
    <row r="86" spans="1:5" x14ac:dyDescent="0.3">
      <c r="A86" s="1">
        <v>11</v>
      </c>
      <c r="B86" s="1" t="s">
        <v>8</v>
      </c>
      <c r="C86" s="1">
        <v>12</v>
      </c>
      <c r="D86" s="1">
        <v>1</v>
      </c>
    </row>
    <row r="87" spans="1:5" x14ac:dyDescent="0.3">
      <c r="A87" s="1">
        <v>12</v>
      </c>
      <c r="B87" s="1" t="s">
        <v>8</v>
      </c>
      <c r="C87" s="1">
        <v>13</v>
      </c>
      <c r="D87" s="1">
        <v>1</v>
      </c>
    </row>
    <row r="88" spans="1:5" x14ac:dyDescent="0.3">
      <c r="A88" s="1">
        <v>13</v>
      </c>
      <c r="B88" s="1" t="s">
        <v>8</v>
      </c>
      <c r="C88" s="1">
        <v>15</v>
      </c>
      <c r="D88" s="1">
        <v>1</v>
      </c>
    </row>
    <row r="89" spans="1:5" x14ac:dyDescent="0.3">
      <c r="A89" s="1">
        <v>14</v>
      </c>
      <c r="B89" s="1" t="s">
        <v>8</v>
      </c>
      <c r="C89" s="1">
        <v>18</v>
      </c>
      <c r="D89" s="1">
        <v>1</v>
      </c>
    </row>
  </sheetData>
  <mergeCells count="4">
    <mergeCell ref="E51:E54"/>
    <mergeCell ref="E55:E57"/>
    <mergeCell ref="E59:E61"/>
    <mergeCell ref="E62:E64"/>
  </mergeCells>
  <phoneticPr fontId="2" type="noConversion"/>
  <pageMargins left="0.7" right="0.7" top="0.75" bottom="0.75" header="0.3" footer="0.3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038B-1161-4F00-B03D-17FE4C3AF87A}">
  <dimension ref="A1:I4"/>
  <sheetViews>
    <sheetView workbookViewId="0">
      <selection activeCell="H5" sqref="H5"/>
    </sheetView>
  </sheetViews>
  <sheetFormatPr baseColWidth="10" defaultRowHeight="14.4" x14ac:dyDescent="0.3"/>
  <cols>
    <col min="8" max="8" width="13.21875" bestFit="1" customWidth="1"/>
  </cols>
  <sheetData>
    <row r="1" spans="1:9" x14ac:dyDescent="0.3">
      <c r="A1" t="s">
        <v>67</v>
      </c>
      <c r="B1" t="s">
        <v>66</v>
      </c>
      <c r="C1" t="s">
        <v>65</v>
      </c>
      <c r="D1" t="s">
        <v>61</v>
      </c>
      <c r="E1" t="s">
        <v>68</v>
      </c>
      <c r="F1" s="15">
        <v>0.2</v>
      </c>
      <c r="H1" t="s">
        <v>69</v>
      </c>
      <c r="I1" t="s">
        <v>70</v>
      </c>
    </row>
    <row r="2" spans="1:9" x14ac:dyDescent="0.3">
      <c r="A2" t="s">
        <v>62</v>
      </c>
      <c r="B2">
        <v>6</v>
      </c>
      <c r="C2">
        <v>800</v>
      </c>
      <c r="D2" s="16">
        <f>((Tableau3[[#This Row],[quantite]]*Tableau3[[#This Row],[prix]])+(1+$F$1))-Tableau3[[#This Row],[TauxRemise]]</f>
        <v>4791.2</v>
      </c>
      <c r="E2">
        <f>_xlfn.XLOOKUP(
   Tableau3[[#This Row],[quantite]],
   $H$2:$H$4,
   $I$2:$I$4,
   0,
   -1
)</f>
        <v>10</v>
      </c>
      <c r="H2">
        <v>10</v>
      </c>
      <c r="I2">
        <v>15</v>
      </c>
    </row>
    <row r="3" spans="1:9" x14ac:dyDescent="0.3">
      <c r="A3" t="s">
        <v>63</v>
      </c>
      <c r="B3">
        <v>7</v>
      </c>
      <c r="C3">
        <v>2500</v>
      </c>
      <c r="D3" s="16">
        <f>((Tableau3[[#This Row],[quantite]]*Tableau3[[#This Row],[prix]])+(1+$F$1))-Tableau3[[#This Row],[TauxRemise]]</f>
        <v>17491.2</v>
      </c>
      <c r="E3">
        <f>_xlfn.XLOOKUP(
   Tableau3[[#This Row],[quantite]],
   $H$2:$H$4,
   $I$2:$I$4,
   0,
   -1
)</f>
        <v>10</v>
      </c>
      <c r="H3">
        <v>5</v>
      </c>
      <c r="I3">
        <v>10</v>
      </c>
    </row>
    <row r="4" spans="1:9" x14ac:dyDescent="0.3">
      <c r="A4" t="s">
        <v>64</v>
      </c>
      <c r="B4">
        <v>12</v>
      </c>
      <c r="C4">
        <v>6000</v>
      </c>
      <c r="D4" s="16">
        <f>((Tableau3[[#This Row],[quantite]]*Tableau3[[#This Row],[prix]])+(1+$F$1))-Tableau3[[#This Row],[TauxRemise]]</f>
        <v>71986.2</v>
      </c>
      <c r="E4">
        <f>_xlfn.XLOOKUP(
   Tableau3[[#This Row],[quantite]],
   $H$2:$H$4,
   $I$2:$I$4,
   0,
   -1
)</f>
        <v>15</v>
      </c>
      <c r="H4">
        <v>0</v>
      </c>
      <c r="I4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2025-12-08T11:37:26Z</dcterms:created>
  <dcterms:modified xsi:type="dcterms:W3CDTF">2025-12-15T13:50:02Z</dcterms:modified>
</cp:coreProperties>
</file>